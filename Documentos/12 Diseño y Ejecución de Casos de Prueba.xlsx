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F59690B5-FED6-4FAE-A216-004E33AC55B7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Casos de Prueba" sheetId="1" r:id="rId1"/>
    <sheet name="Defectos" sheetId="2" r:id="rId2"/>
    <sheet name="Indicadores" sheetId="3" r:id="rId3"/>
    <sheet name="cp-08-evidencias" sheetId="4" r:id="rId4"/>
    <sheet name="Dat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C6" i="3" s="1"/>
  <c r="D6" i="3" s="1"/>
  <c r="D5" i="3"/>
  <c r="C5" i="3"/>
  <c r="B5" i="3"/>
  <c r="B4" i="3"/>
  <c r="C4" i="3" s="1"/>
  <c r="D3" i="3"/>
  <c r="C3" i="3"/>
  <c r="B3" i="3"/>
  <c r="B7" i="3" l="1"/>
  <c r="C7" i="3"/>
  <c r="C9" i="3"/>
  <c r="C8" i="3"/>
  <c r="D4" i="3"/>
  <c r="D7" i="3" s="1"/>
  <c r="B8" i="3"/>
  <c r="B9" i="3"/>
  <c r="D9" i="3" l="1"/>
  <c r="D8" i="3"/>
</calcChain>
</file>

<file path=xl/sharedStrings.xml><?xml version="1.0" encoding="utf-8"?>
<sst xmlns="http://schemas.openxmlformats.org/spreadsheetml/2006/main" count="183" uniqueCount="131">
  <si>
    <t>FORMATO DE DISEÑO Y EJECUCIÓN DE PRUEBAS</t>
  </si>
  <si>
    <t>HISTORIA DE USUARIO</t>
  </si>
  <si>
    <t>ID CASO DE PRUEBA</t>
  </si>
  <si>
    <t>TITULO CASO DE PRUEBA</t>
  </si>
  <si>
    <t>PRECONDICIONES</t>
  </si>
  <si>
    <t>PASO A PASO</t>
  </si>
  <si>
    <t>RESULTADO ESPERADO</t>
  </si>
  <si>
    <t>EJECUCIÓN CICLO DE PRUEBAS 1</t>
  </si>
  <si>
    <t>EJECUCIÓN CICLO DE PRUEBAS 2</t>
  </si>
  <si>
    <t>EJECUCIÓN CICLO DE PRUEBAS 3</t>
  </si>
  <si>
    <t>ESTADO</t>
  </si>
  <si>
    <t>ANALISTA</t>
  </si>
  <si>
    <t>FECHA</t>
  </si>
  <si>
    <t>OBSERVACIONES</t>
  </si>
  <si>
    <t>QA</t>
  </si>
  <si>
    <t>Registro de Proveedores
Servicio: POST /proveedores/registro-completo</t>
  </si>
  <si>
    <t>01</t>
  </si>
  <si>
    <t>Verificar que el registro completo de un proveedor nuevo con todos los datos obligatorios (empresa, contactos, representante, información bancaria) se guarda exitosamente.</t>
  </si>
  <si>
    <t>1. Contar con acceso al portal de autogestión del proveedor.
2. No existe un proveedor previo asociado al idUsuarioAsignado de prueba.</t>
  </si>
  <si>
    <t>1. Ingresar al formulario de registro (supplier_form.html).
2. Diligenciar los datos de la empresa, un contacto, un representante legal y la información bancaria.
3. Enviar el formulario (POST /proveedores/registro-completo).</t>
  </si>
  <si>
    <t>El servicio responde { "data": true }. Se crea un registro en la tabla proveedor con id_estado_proveedor = 4 y se insertan sus tablas relacionadas (ubicacion, forma_de_pago, contacto, representante_legal).</t>
  </si>
  <si>
    <t>PASÓ</t>
  </si>
  <si>
    <t/>
  </si>
  <si>
    <t>02</t>
  </si>
  <si>
    <t>Verificar que al reenviar el formulario para un proveedor ya existente (mismo idUsuarioAsignado), el servicio actualiza el registro en lugar de duplicarlo.</t>
  </si>
  <si>
    <t>Ya existe un proveedor creado con el idUsuarioAsignado de prueba.</t>
  </si>
  <si>
    <t>1. Editar el registro existente en supplier_form.html cambiando el teléfono principal.
2. Reenviar el formulario (POST /proveedores/registro-completo).
3. Consultar GET /proveedores/{id}.</t>
  </si>
  <si>
    <t>Sigue existiendo un único registro en la tabla proveedor para ese usuario, con el teléfono principal actualizado.</t>
  </si>
  <si>
    <t>03</t>
  </si>
  <si>
    <t>Verificar que si no se envía el campo empresa.idTipoPersona, el sistema asigna por defecto el valor 1 (Natural).</t>
  </si>
  <si>
    <t>Formulario de registro configurado para omitir el campo tipo de persona.</t>
  </si>
  <si>
    <t>1. Enviar un POST /proveedores/registro-completo sin el campo empresa.idTipoPersona.
2. Consultar el proveedor creado (GET /proveedores/{id}).</t>
  </si>
  <si>
    <t>El campo id_tipo_persona del proveedor queda registrado como 1.</t>
  </si>
  <si>
    <t>04</t>
  </si>
  <si>
    <t>Verificar que al reenviar el registro con una lista de contactos distinta a la anterior, los contactos previos del proveedor se reemplazan por completo y no quedan duplicados.</t>
  </si>
  <si>
    <t>El proveedor ya tiene al menos un contacto registrado.</t>
  </si>
  <si>
    <t>1. Reenviar el registro completo con un contacto nuevo (nombre distinto al original).
2. Consultar GET /proveedores/{id}/detalle-completo.</t>
  </si>
  <si>
    <t>La lista de contactos del proveedor contiene únicamente el contacto enviado en la última petición.</t>
  </si>
  <si>
    <t>Validación Final y Cambio de Estado del Proveedor
Servicios: POST/GET /validacion-final, PATCH /proveedores/{id}/estado</t>
  </si>
  <si>
    <t>05</t>
  </si>
  <si>
    <t>Verificar que al registrar una validación final con estadoValidacion "11" (revisado sin novedad), el registro se guarda en la tabla validacion_final.</t>
  </si>
  <si>
    <t>Existe un proveedor en revisión y al menos una validación atómica registrada para él.</t>
  </si>
  <si>
    <t>1. Ingresar como Analista de Riesgo a risk_review.html.
2. Diligenciar el comentario final y seleccionar la decisión "Sin novedad".
3. Guardar (POST /validacion-final).</t>
  </si>
  <si>
    <t>Se crea un registro en validacion_final con estado_validacion = "11" y las validaciones atómicas seleccionadas quedan enlazadas mediante id_validacion_final.</t>
  </si>
  <si>
    <t>06</t>
  </si>
  <si>
    <t>Verificar que después del PATCH /proveedores/{id}/estado con idEstadoProveedor = 11, se registra automáticamente la fecha_aprobacion del proveedor.</t>
  </si>
  <si>
    <t>Se completó el caso de prueba 05.</t>
  </si>
  <si>
    <t>1. Confirmar el guardado de la revisión de riesgo (dispara el PATCH automático de estado).
2. Consultar GET /proveedores/{id}.</t>
  </si>
  <si>
    <t>El campo fecha_aprobacion del proveedor queda registrado con la fecha y hora actuales.</t>
  </si>
  <si>
    <t>07</t>
  </si>
  <si>
    <t>Verificar que si el campo estadoValidacion enviado no es numérico ni el texto "REVISADO_CON_NOVEDAD", el sistema asigna por defecto el estado 11 al proveedor.</t>
  </si>
  <si>
    <t>Ninguna.</t>
  </si>
  <si>
    <t>1. Enviar un POST /validacion-final con estadoValidacion = "APROBADO_TEXTO_LIBRE".
2. Consultar el estado resultante del proveedor (GET /proveedores/{id}).</t>
  </si>
  <si>
    <t>El proveedor queda con id_estado_proveedor = 11.</t>
  </si>
  <si>
    <t>08</t>
  </si>
  <si>
    <t>Verificar que el estado mostrado en la pantalla del perfil del proveedor corresponde a una descripción válida del catálogo estado_proveedor para los IDs que la lógica de negocio asigna automáticamente (4, 5, 6, 10 y 11).</t>
  </si>
  <si>
    <t>Instalación con la base de datos inicializada únicamente con create_tables.sql e insert_data.sql.</t>
  </si>
  <si>
    <t>1. Registrar un proveedor nuevo (queda con id_estado_proveedor = 4).
2. Abrir buyer_supplier_profile.html para ese proveedor.
3. Consultar GET /estado_proveedor/4.</t>
  </si>
  <si>
    <t>La pantalla muestra la etiqueta de estado correspondiente al ID 4 (por ejemplo "PENDIENTE").</t>
  </si>
  <si>
    <t>FALLÓ</t>
  </si>
  <si>
    <t>La tabla estado_proveedor solo tiene sembrados los IDs 1-3 (ACTIVO, INACTIVO, SUSPENDIDO) en insert_data.sql; el ID 4 no existe, por lo que GET /estado_proveedor/4 responde data: null y la pantalla muestra el estado en blanco. Ver defecto DEF-01.</t>
  </si>
  <si>
    <t>Firma Digital del Formulario de Vinculación
Servicios: POST /firmas/solicitar, GET /firmas/validar, POST /firmas/firmar</t>
  </si>
  <si>
    <t>09</t>
  </si>
  <si>
    <t>Verificar que al solicitar una firma para un proveedor válido, se genera un token UUID con expiración de 24 horas y el link de firma correspondiente.</t>
  </si>
  <si>
    <t>Existe un proveedor válido en el sistema.</t>
  </si>
  <si>
    <t>1. Ejecutar POST /firmas/solicitar?idProveedor={id}.
2. Verificar la respuesta del servicio.</t>
  </si>
  <si>
    <t>La respuesta contiene token (UUID), fechaExpiracion (24 horas después de la solicitud) y linkFirma con el token embebido.</t>
  </si>
  <si>
    <t>10</t>
  </si>
  <si>
    <t>Verificar que al solicitar una nueva firma para un proveedor que ya tenía un token vigente, el token anterior queda invalidado.</t>
  </si>
  <si>
    <t>El proveedor ya tiene un token de firma generado y no utilizado.</t>
  </si>
  <si>
    <t>1. Solicitar una nueva firma para el mismo proveedor (POST /firmas/solicitar).
2. Intentar validar el token anterior (GET /firmas/validar?token=...).</t>
  </si>
  <si>
    <t>El token anterior responde utilizado = true.</t>
  </si>
  <si>
    <t>11</t>
  </si>
  <si>
    <t>Verificar que al intentar validar un token ya utilizado, el servicio responde con el mensaje de error "El enlace de firma ya ha sido utilizado".</t>
  </si>
  <si>
    <t>Existe un token con utilizado = true.</t>
  </si>
  <si>
    <t>1. Abrir sign_form.html con un token ya usado.
2. Observar la respuesta de GET /firmas/validar.</t>
  </si>
  <si>
    <t>El servicio responde HTTP 500 con message = "El enlace de firma ya ha sido utilizado" y la pantalla muestra el mensaje de enlace inválido.</t>
  </si>
  <si>
    <t>12</t>
  </si>
  <si>
    <t>Verificar que al firmar exitosamente el formulario, el estado del proveedor cambia automáticamente al ID 5 (Firmado) y se registran la IP y fecha de firma.</t>
  </si>
  <si>
    <t>Token de firma vigente y no utilizado.</t>
  </si>
  <si>
    <t>1. Completar la aceptación digital en sign_form.html (POST /firmas/firmar).
2. Consultar GET /proveedores/{id} y la tabla firma_token.</t>
  </si>
  <si>
    <t>firma_token.utilizado = true, fecha_firmado e ip_firma quedan registrados, y proveedor.id_estado_proveedor = 5.</t>
  </si>
  <si>
    <t>FORMATO DE REPORTE DE DEFECTOS</t>
  </si>
  <si>
    <t>ID DEFECTO</t>
  </si>
  <si>
    <t>ASIGNADO A</t>
  </si>
  <si>
    <t>DESCRIPCIÓN</t>
  </si>
  <si>
    <t>PASOS PARA REPRODUCIR</t>
  </si>
  <si>
    <t>APLICACIÓN/SERVICIO</t>
  </si>
  <si>
    <t>AMBIENTE</t>
  </si>
  <si>
    <t>IMPACTO</t>
  </si>
  <si>
    <t>NATURALEZA</t>
  </si>
  <si>
    <t>FECHA REPORTE</t>
  </si>
  <si>
    <t>DEF-01</t>
  </si>
  <si>
    <t>REPORTADO</t>
  </si>
  <si>
    <t>Equipo Backend</t>
  </si>
  <si>
    <t>El catálogo estado_proveedor no contiene registros para los IDs 4, 5, 6, 10 y 11 que la lógica de negocio asigna automáticamente (registro por defecto, firma digital, aprobación y revisión de riesgos/cumplimiento). Como consecuencia, las pantallas que consultan el estado por ID (perfil del proveedor, listas de proveedores) muestran el estado en blanco o inconsistente.</t>
  </si>
  <si>
    <t>1. Ejecutar únicamente Frontend/db/create_tables.sql e insert_data.sql en una base de datos limpia.
2. Registrar un proveedor nuevo mediante POST /proveedores/registro-completo (queda con id_estado_proveedor = 4).
3. Consultar GET /estado_proveedor/4.
4. Observar que la respuesta no trae datos.</t>
  </si>
  <si>
    <t>Backend - EstadoProveedorController / Frontend/db/insert_data.sql</t>
  </si>
  <si>
    <t>DESARROLLO</t>
  </si>
  <si>
    <t>ALTO</t>
  </si>
  <si>
    <t>FUNCIONAL</t>
  </si>
  <si>
    <t>Juan Cadena</t>
  </si>
  <si>
    <t>RESUMEN DE EJECUCIÓN</t>
  </si>
  <si>
    <t>CICLOS DE PRUEBAS</t>
  </si>
  <si>
    <t>CICLO 1</t>
  </si>
  <si>
    <t>CICLO 2</t>
  </si>
  <si>
    <t>CICLO 3</t>
  </si>
  <si>
    <t>CASOS DE PRUEBA</t>
  </si>
  <si>
    <t>CASOS DE PRUEBAS SATISFACTORIOS</t>
  </si>
  <si>
    <t>CASOS DE PRUEBAS FALLIDOS</t>
  </si>
  <si>
    <t>CASOS DE PRUEBAS NO APLICAN</t>
  </si>
  <si>
    <t>CASOS DE PRUEBA PENDIENTES</t>
  </si>
  <si>
    <t>AVANCE DE EJECUCIÓN</t>
  </si>
  <si>
    <t>AVANCE DE EJECUCIÓN SATISFACTORIO</t>
  </si>
  <si>
    <t>ESTADO CASOS</t>
  </si>
  <si>
    <t>ESTADO DEFECTOS</t>
  </si>
  <si>
    <t>CRITICO</t>
  </si>
  <si>
    <t>DOCUMENTACIÓN</t>
  </si>
  <si>
    <t>EN REVISIÓN DESARROLLO</t>
  </si>
  <si>
    <t>PRUEBAS</t>
  </si>
  <si>
    <t>NO APLICA</t>
  </si>
  <si>
    <t>SOLUCIONADO</t>
  </si>
  <si>
    <t>PRODUCCIÓN</t>
  </si>
  <si>
    <t>MEDIO</t>
  </si>
  <si>
    <t>TEXTO</t>
  </si>
  <si>
    <t>BLOQUEADO</t>
  </si>
  <si>
    <t>VERIFICADO</t>
  </si>
  <si>
    <t>BAJO</t>
  </si>
  <si>
    <t>INTERFAZ USUARIO</t>
  </si>
  <si>
    <t>REABIERTO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</si>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</sst>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4"/>
      <color rgb="FF000000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FFFFFF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7" fillId="3" borderId="1" xfId="0" applyFont="1" applyFill="1" applyBorder="1"/>
    <xf numFmtId="0" fontId="8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0"/>
  <sheetViews>
    <sheetView tabSelected="1" workbookViewId="0">
      <pane ySplit="3" topLeftCell="A4" activePane="bottomLeft" state="frozen"/>
      <selection pane="bottomLeft" activeCell="H4" sqref="H4:H15"/>
    </sheetView>
  </sheetViews>
  <sheetFormatPr defaultColWidth="9.140625" defaultRowHeight="15" x14ac:dyDescent="0.25"/>
  <cols>
    <col min="1" max="1" width="22" customWidth="1"/>
    <col min="2" max="2" width="12" customWidth="1"/>
    <col min="3" max="4" width="30" customWidth="1"/>
    <col min="5" max="5" width="32" customWidth="1"/>
    <col min="6" max="6" width="30" customWidth="1"/>
    <col min="7" max="7" width="12" customWidth="1"/>
    <col min="8" max="8" width="16" customWidth="1"/>
    <col min="9" max="9" width="12" customWidth="1"/>
    <col min="10" max="10" width="28" customWidth="1"/>
    <col min="11" max="11" width="12" customWidth="1"/>
    <col min="12" max="12" width="16" customWidth="1"/>
    <col min="13" max="13" width="12" customWidth="1"/>
    <col min="14" max="14" width="28" customWidth="1"/>
    <col min="15" max="15" width="12" customWidth="1"/>
    <col min="16" max="16" width="16" customWidth="1"/>
    <col min="17" max="17" width="12" customWidth="1"/>
    <col min="18" max="18" width="28" customWidth="1"/>
  </cols>
  <sheetData>
    <row r="1" spans="1:18" ht="40.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32.25" customHeight="1" x14ac:dyDescent="0.25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/>
      <c r="I2" s="16"/>
      <c r="J2" s="16"/>
      <c r="K2" s="16" t="s">
        <v>8</v>
      </c>
      <c r="L2" s="16"/>
      <c r="M2" s="16"/>
      <c r="N2" s="16"/>
      <c r="O2" s="16" t="s">
        <v>9</v>
      </c>
      <c r="P2" s="16"/>
      <c r="Q2" s="16"/>
      <c r="R2" s="16"/>
    </row>
    <row r="3" spans="1:18" ht="24" customHeight="1" x14ac:dyDescent="0.25">
      <c r="A3" s="16"/>
      <c r="B3" s="16"/>
      <c r="C3" s="16"/>
      <c r="D3" s="16"/>
      <c r="E3" s="16"/>
      <c r="F3" s="16"/>
      <c r="G3" s="1" t="s">
        <v>10</v>
      </c>
      <c r="H3" s="1" t="s">
        <v>11</v>
      </c>
      <c r="I3" s="1" t="s">
        <v>12</v>
      </c>
      <c r="J3" s="1" t="s">
        <v>13</v>
      </c>
      <c r="K3" s="1" t="s">
        <v>10</v>
      </c>
      <c r="L3" s="1" t="s">
        <v>14</v>
      </c>
      <c r="M3" s="1" t="s">
        <v>12</v>
      </c>
      <c r="N3" s="1" t="s">
        <v>13</v>
      </c>
      <c r="O3" s="1" t="s">
        <v>10</v>
      </c>
      <c r="P3" s="1" t="s">
        <v>14</v>
      </c>
      <c r="Q3" s="1" t="s">
        <v>12</v>
      </c>
      <c r="R3" s="1" t="s">
        <v>13</v>
      </c>
    </row>
    <row r="4" spans="1:18" ht="96" customHeight="1" x14ac:dyDescent="0.25">
      <c r="A4" s="14" t="s">
        <v>15</v>
      </c>
      <c r="B4" s="3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2" t="s">
        <v>21</v>
      </c>
      <c r="H4" s="4" t="s">
        <v>101</v>
      </c>
      <c r="I4" s="5">
        <v>46257</v>
      </c>
      <c r="J4" s="2" t="s">
        <v>22</v>
      </c>
      <c r="K4" s="4"/>
      <c r="L4" s="4"/>
      <c r="M4" s="4"/>
      <c r="N4" s="4"/>
      <c r="O4" s="4"/>
      <c r="P4" s="4"/>
      <c r="Q4" s="4"/>
      <c r="R4" s="4"/>
    </row>
    <row r="5" spans="1:18" ht="90" customHeight="1" x14ac:dyDescent="0.25">
      <c r="A5" s="14"/>
      <c r="B5" s="3" t="s">
        <v>23</v>
      </c>
      <c r="C5" s="4" t="s">
        <v>24</v>
      </c>
      <c r="D5" s="4" t="s">
        <v>25</v>
      </c>
      <c r="E5" s="4" t="s">
        <v>26</v>
      </c>
      <c r="F5" s="4" t="s">
        <v>27</v>
      </c>
      <c r="G5" s="2" t="s">
        <v>21</v>
      </c>
      <c r="H5" s="4" t="s">
        <v>101</v>
      </c>
      <c r="I5" s="5">
        <v>46257</v>
      </c>
      <c r="J5" s="2" t="s">
        <v>22</v>
      </c>
      <c r="K5" s="4"/>
      <c r="L5" s="4"/>
      <c r="M5" s="4"/>
      <c r="N5" s="4"/>
      <c r="O5" s="4"/>
      <c r="P5" s="4"/>
      <c r="Q5" s="4"/>
      <c r="R5" s="4"/>
    </row>
    <row r="6" spans="1:18" ht="90" customHeight="1" x14ac:dyDescent="0.25">
      <c r="A6" s="14"/>
      <c r="B6" s="3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2" t="s">
        <v>21</v>
      </c>
      <c r="H6" s="4" t="s">
        <v>101</v>
      </c>
      <c r="I6" s="5">
        <v>46257</v>
      </c>
      <c r="J6" s="2" t="s">
        <v>22</v>
      </c>
      <c r="K6" s="4"/>
      <c r="L6" s="4"/>
      <c r="M6" s="4"/>
      <c r="N6" s="4"/>
      <c r="O6" s="4"/>
      <c r="P6" s="4"/>
      <c r="Q6" s="4"/>
      <c r="R6" s="4"/>
    </row>
    <row r="7" spans="1:18" ht="90" customHeight="1" x14ac:dyDescent="0.25">
      <c r="A7" s="14"/>
      <c r="B7" s="3" t="s">
        <v>33</v>
      </c>
      <c r="C7" s="4" t="s">
        <v>34</v>
      </c>
      <c r="D7" s="4" t="s">
        <v>35</v>
      </c>
      <c r="E7" s="4" t="s">
        <v>36</v>
      </c>
      <c r="F7" s="4" t="s">
        <v>37</v>
      </c>
      <c r="G7" s="2" t="s">
        <v>21</v>
      </c>
      <c r="H7" s="4" t="s">
        <v>101</v>
      </c>
      <c r="I7" s="5">
        <v>46257</v>
      </c>
      <c r="J7" s="2" t="s">
        <v>22</v>
      </c>
      <c r="K7" s="4"/>
      <c r="L7" s="4"/>
      <c r="M7" s="4"/>
      <c r="N7" s="4"/>
      <c r="O7" s="4"/>
      <c r="P7" s="4"/>
      <c r="Q7" s="4"/>
      <c r="R7" s="4"/>
    </row>
    <row r="8" spans="1:18" ht="90" customHeight="1" x14ac:dyDescent="0.25">
      <c r="A8" s="14" t="s">
        <v>38</v>
      </c>
      <c r="B8" s="3" t="s">
        <v>39</v>
      </c>
      <c r="C8" s="4" t="s">
        <v>40</v>
      </c>
      <c r="D8" s="4" t="s">
        <v>41</v>
      </c>
      <c r="E8" s="4" t="s">
        <v>42</v>
      </c>
      <c r="F8" s="4" t="s">
        <v>43</v>
      </c>
      <c r="G8" s="2" t="s">
        <v>21</v>
      </c>
      <c r="H8" s="4" t="s">
        <v>101</v>
      </c>
      <c r="I8" s="5">
        <v>46257</v>
      </c>
      <c r="J8" s="2" t="s">
        <v>22</v>
      </c>
      <c r="K8" s="4"/>
      <c r="L8" s="4"/>
      <c r="M8" s="4"/>
      <c r="N8" s="4"/>
      <c r="O8" s="4"/>
      <c r="P8" s="4"/>
      <c r="Q8" s="4"/>
      <c r="R8" s="4"/>
    </row>
    <row r="9" spans="1:18" ht="90" customHeight="1" x14ac:dyDescent="0.25">
      <c r="A9" s="14"/>
      <c r="B9" s="3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2" t="s">
        <v>21</v>
      </c>
      <c r="H9" s="4" t="s">
        <v>101</v>
      </c>
      <c r="I9" s="5">
        <v>46257</v>
      </c>
      <c r="J9" s="2" t="s">
        <v>22</v>
      </c>
      <c r="K9" s="4"/>
      <c r="L9" s="4"/>
      <c r="M9" s="4"/>
      <c r="N9" s="4"/>
      <c r="O9" s="4"/>
      <c r="P9" s="4"/>
      <c r="Q9" s="4"/>
      <c r="R9" s="4"/>
    </row>
    <row r="10" spans="1:18" ht="90" customHeight="1" x14ac:dyDescent="0.25">
      <c r="A10" s="14"/>
      <c r="B10" s="3" t="s">
        <v>49</v>
      </c>
      <c r="C10" s="4" t="s">
        <v>50</v>
      </c>
      <c r="D10" s="4" t="s">
        <v>51</v>
      </c>
      <c r="E10" s="4" t="s">
        <v>52</v>
      </c>
      <c r="F10" s="4" t="s">
        <v>53</v>
      </c>
      <c r="G10" s="2" t="s">
        <v>21</v>
      </c>
      <c r="H10" s="4" t="s">
        <v>101</v>
      </c>
      <c r="I10" s="5">
        <v>46257</v>
      </c>
      <c r="J10" s="2" t="s">
        <v>22</v>
      </c>
      <c r="K10" s="4"/>
      <c r="L10" s="4"/>
      <c r="M10" s="4"/>
      <c r="N10" s="4"/>
      <c r="O10" s="4"/>
      <c r="P10" s="4"/>
      <c r="Q10" s="4"/>
      <c r="R10" s="4"/>
    </row>
    <row r="11" spans="1:18" ht="123" customHeight="1" x14ac:dyDescent="0.25">
      <c r="A11" s="14"/>
      <c r="B11" s="3" t="s">
        <v>54</v>
      </c>
      <c r="C11" s="4" t="s">
        <v>55</v>
      </c>
      <c r="D11" s="4" t="s">
        <v>56</v>
      </c>
      <c r="E11" s="4" t="s">
        <v>57</v>
      </c>
      <c r="F11" s="4" t="s">
        <v>58</v>
      </c>
      <c r="G11" s="2" t="s">
        <v>59</v>
      </c>
      <c r="H11" s="4" t="s">
        <v>101</v>
      </c>
      <c r="I11" s="5">
        <v>46257</v>
      </c>
      <c r="J11" s="2" t="s">
        <v>60</v>
      </c>
      <c r="K11" s="4"/>
      <c r="L11" s="4"/>
      <c r="M11" s="4"/>
      <c r="N11" s="4"/>
      <c r="O11" s="4"/>
      <c r="P11" s="4"/>
      <c r="Q11" s="4"/>
      <c r="R11" s="4"/>
    </row>
    <row r="12" spans="1:18" ht="90" customHeight="1" x14ac:dyDescent="0.25">
      <c r="A12" s="14" t="s">
        <v>61</v>
      </c>
      <c r="B12" s="3" t="s">
        <v>62</v>
      </c>
      <c r="C12" s="4" t="s">
        <v>63</v>
      </c>
      <c r="D12" s="4" t="s">
        <v>64</v>
      </c>
      <c r="E12" s="4" t="s">
        <v>65</v>
      </c>
      <c r="F12" s="4" t="s">
        <v>66</v>
      </c>
      <c r="G12" s="2" t="s">
        <v>21</v>
      </c>
      <c r="H12" s="4" t="s">
        <v>101</v>
      </c>
      <c r="I12" s="5">
        <v>46257</v>
      </c>
      <c r="J12" s="2" t="s">
        <v>22</v>
      </c>
      <c r="K12" s="4"/>
      <c r="L12" s="4"/>
      <c r="M12" s="4"/>
      <c r="N12" s="4"/>
      <c r="O12" s="4"/>
      <c r="P12" s="4"/>
      <c r="Q12" s="4"/>
      <c r="R12" s="4"/>
    </row>
    <row r="13" spans="1:18" ht="90" customHeight="1" x14ac:dyDescent="0.25">
      <c r="A13" s="14"/>
      <c r="B13" s="3" t="s">
        <v>67</v>
      </c>
      <c r="C13" s="4" t="s">
        <v>68</v>
      </c>
      <c r="D13" s="4" t="s">
        <v>69</v>
      </c>
      <c r="E13" s="4" t="s">
        <v>70</v>
      </c>
      <c r="F13" s="4" t="s">
        <v>71</v>
      </c>
      <c r="G13" s="2" t="s">
        <v>21</v>
      </c>
      <c r="H13" s="4" t="s">
        <v>101</v>
      </c>
      <c r="I13" s="5">
        <v>46257</v>
      </c>
      <c r="J13" s="2" t="s">
        <v>22</v>
      </c>
      <c r="K13" s="4"/>
      <c r="L13" s="4"/>
      <c r="M13" s="4"/>
      <c r="N13" s="4"/>
      <c r="O13" s="4"/>
      <c r="P13" s="4"/>
      <c r="Q13" s="4"/>
      <c r="R13" s="4"/>
    </row>
    <row r="14" spans="1:18" ht="90" customHeight="1" x14ac:dyDescent="0.25">
      <c r="A14" s="14"/>
      <c r="B14" s="3" t="s">
        <v>72</v>
      </c>
      <c r="C14" s="4" t="s">
        <v>73</v>
      </c>
      <c r="D14" s="4" t="s">
        <v>74</v>
      </c>
      <c r="E14" s="4" t="s">
        <v>75</v>
      </c>
      <c r="F14" s="4" t="s">
        <v>76</v>
      </c>
      <c r="G14" s="2" t="s">
        <v>21</v>
      </c>
      <c r="H14" s="4" t="s">
        <v>101</v>
      </c>
      <c r="I14" s="5">
        <v>46257</v>
      </c>
      <c r="J14" s="2" t="s">
        <v>22</v>
      </c>
      <c r="K14" s="4"/>
      <c r="L14" s="4"/>
      <c r="M14" s="4"/>
      <c r="N14" s="4"/>
      <c r="O14" s="4"/>
      <c r="P14" s="4"/>
      <c r="Q14" s="4"/>
      <c r="R14" s="4"/>
    </row>
    <row r="15" spans="1:18" ht="90" customHeight="1" x14ac:dyDescent="0.25">
      <c r="A15" s="14"/>
      <c r="B15" s="3" t="s">
        <v>77</v>
      </c>
      <c r="C15" s="4" t="s">
        <v>78</v>
      </c>
      <c r="D15" s="4" t="s">
        <v>79</v>
      </c>
      <c r="E15" s="4" t="s">
        <v>80</v>
      </c>
      <c r="F15" s="4" t="s">
        <v>81</v>
      </c>
      <c r="G15" s="2" t="s">
        <v>21</v>
      </c>
      <c r="H15" s="4" t="s">
        <v>101</v>
      </c>
      <c r="I15" s="5">
        <v>46257</v>
      </c>
      <c r="J15" s="2" t="s">
        <v>22</v>
      </c>
      <c r="K15" s="4"/>
      <c r="L15" s="4"/>
      <c r="M15" s="4"/>
      <c r="N15" s="4"/>
      <c r="O15" s="4"/>
      <c r="P15" s="4"/>
      <c r="Q15" s="4"/>
      <c r="R15" s="4"/>
    </row>
    <row r="16" spans="1:18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</sheetData>
  <mergeCells count="13">
    <mergeCell ref="A4:A7"/>
    <mergeCell ref="A8:A11"/>
    <mergeCell ref="A12:A15"/>
    <mergeCell ref="A1:R1"/>
    <mergeCell ref="G2:J2"/>
    <mergeCell ref="K2:N2"/>
    <mergeCell ref="O2:R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scale="36" fitToHeight="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Datos!$A$2:$A$5</xm:f>
          </x14:formula1>
          <xm:sqref>O4:O60 K4:K60 G4:G60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0"/>
  <sheetViews>
    <sheetView workbookViewId="0">
      <pane ySplit="2" topLeftCell="A3" activePane="bottomLeft" state="frozen"/>
      <selection pane="bottomLeft" activeCell="J3" sqref="J3"/>
    </sheetView>
  </sheetViews>
  <sheetFormatPr defaultColWidth="9.140625" defaultRowHeight="15" x14ac:dyDescent="0.25"/>
  <cols>
    <col min="1" max="1" width="13" customWidth="1"/>
    <col min="2" max="2" width="20" customWidth="1"/>
    <col min="3" max="3" width="18" customWidth="1"/>
    <col min="4" max="4" width="32" customWidth="1"/>
    <col min="5" max="5" width="34" customWidth="1"/>
    <col min="6" max="6" width="26" customWidth="1"/>
    <col min="7" max="7" width="14" customWidth="1"/>
    <col min="8" max="8" width="12" customWidth="1"/>
    <col min="9" max="10" width="16" customWidth="1"/>
    <col min="11" max="11" width="14" customWidth="1"/>
    <col min="12" max="12" width="16" customWidth="1"/>
  </cols>
  <sheetData>
    <row r="1" spans="1:12" ht="40.5" customHeight="1" x14ac:dyDescent="0.25">
      <c r="A1" s="15" t="s">
        <v>82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30" customHeight="1" x14ac:dyDescent="0.25">
      <c r="A2" s="1" t="s">
        <v>83</v>
      </c>
      <c r="B2" s="1" t="s">
        <v>10</v>
      </c>
      <c r="C2" s="1" t="s">
        <v>84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89</v>
      </c>
      <c r="I2" s="1" t="s">
        <v>90</v>
      </c>
      <c r="J2" s="1" t="s">
        <v>11</v>
      </c>
      <c r="K2" s="1" t="s">
        <v>91</v>
      </c>
      <c r="L2" s="1" t="s">
        <v>2</v>
      </c>
    </row>
    <row r="3" spans="1:12" ht="185.1" customHeight="1" x14ac:dyDescent="0.25">
      <c r="A3" s="2" t="s">
        <v>92</v>
      </c>
      <c r="B3" s="2" t="s">
        <v>93</v>
      </c>
      <c r="C3" s="2" t="s">
        <v>94</v>
      </c>
      <c r="D3" s="4" t="s">
        <v>95</v>
      </c>
      <c r="E3" s="4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6">
        <v>46257</v>
      </c>
      <c r="L3" s="3" t="s">
        <v>54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</sheetData>
  <mergeCells count="1">
    <mergeCell ref="A1:L1"/>
  </mergeCells>
  <pageMargins left="0.7" right="0.7" top="0.75" bottom="0.75" header="0.3" footer="0.3"/>
  <pageSetup paperSize="9" scale="57" fitToHeight="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100-000000000000}">
          <x14:formula1>
            <xm:f>Datos!$B$2:$B$7</xm:f>
          </x14:formula1>
          <xm:sqref>B3:B30</xm:sqref>
        </x14:dataValidation>
        <x14:dataValidation type="list" allowBlank="1" showErrorMessage="1" xr:uid="{00000000-0002-0000-0100-000002000000}">
          <x14:formula1>
            <xm:f>Datos!$C$2:$C$4</xm:f>
          </x14:formula1>
          <xm:sqref>G3:G30</xm:sqref>
        </x14:dataValidation>
        <x14:dataValidation type="list" allowBlank="1" showErrorMessage="1" xr:uid="{00000000-0002-0000-0100-000004000000}">
          <x14:formula1>
            <xm:f>Datos!$D$2:$D$5</xm:f>
          </x14:formula1>
          <xm:sqref>H3:H30</xm:sqref>
        </x14:dataValidation>
        <x14:dataValidation type="list" allowBlank="1" showErrorMessage="1" xr:uid="{00000000-0002-0000-0100-000006000000}">
          <x14:formula1>
            <xm:f>Datos!$E$2:$E$5</xm:f>
          </x14:formula1>
          <xm:sqref>I3:I30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9"/>
  <sheetViews>
    <sheetView workbookViewId="0">
      <selection sqref="A1:D1"/>
    </sheetView>
  </sheetViews>
  <sheetFormatPr defaultColWidth="9.140625" defaultRowHeight="15" x14ac:dyDescent="0.25"/>
  <cols>
    <col min="1" max="1" width="36" customWidth="1"/>
    <col min="2" max="4" width="12" customWidth="1"/>
  </cols>
  <sheetData>
    <row r="1" spans="1:4" ht="33" customHeight="1" x14ac:dyDescent="0.25">
      <c r="A1" s="17" t="s">
        <v>102</v>
      </c>
      <c r="B1" s="17"/>
      <c r="C1" s="17"/>
      <c r="D1" s="17"/>
    </row>
    <row r="2" spans="1:4" ht="30" customHeight="1" x14ac:dyDescent="0.25">
      <c r="A2" s="7" t="s">
        <v>103</v>
      </c>
      <c r="B2" s="8" t="s">
        <v>104</v>
      </c>
      <c r="C2" s="8" t="s">
        <v>105</v>
      </c>
      <c r="D2" s="8" t="s">
        <v>106</v>
      </c>
    </row>
    <row r="3" spans="1:4" ht="24" customHeight="1" x14ac:dyDescent="0.25">
      <c r="A3" s="7" t="s">
        <v>107</v>
      </c>
      <c r="B3" s="9">
        <f>COUNTA('Casos de Prueba'!$B$4:$B$60)</f>
        <v>12</v>
      </c>
      <c r="C3" s="9">
        <f>COUNTA('Casos de Prueba'!$B$4:$B$60)</f>
        <v>12</v>
      </c>
      <c r="D3" s="9">
        <f>COUNTA('Casos de Prueba'!$B$4:$B$60)</f>
        <v>12</v>
      </c>
    </row>
    <row r="4" spans="1:4" ht="24" customHeight="1" x14ac:dyDescent="0.25">
      <c r="A4" s="7" t="s">
        <v>108</v>
      </c>
      <c r="B4" s="9">
        <f>COUNTIF('Casos de Prueba'!G4:G60,"PASÓ")</f>
        <v>11</v>
      </c>
      <c r="C4" s="9">
        <f>COUNTIF('Casos de Prueba'!K4:K60,"PASÓ")+B4</f>
        <v>11</v>
      </c>
      <c r="D4" s="9">
        <f>COUNTIF('Casos de Prueba'!O4:O60,"PASÓ")+C4</f>
        <v>11</v>
      </c>
    </row>
    <row r="5" spans="1:4" ht="24" customHeight="1" x14ac:dyDescent="0.25">
      <c r="A5" s="7" t="s">
        <v>109</v>
      </c>
      <c r="B5" s="9">
        <f>COUNTIF('Casos de Prueba'!G4:G60,"FALLÓ")</f>
        <v>1</v>
      </c>
      <c r="C5" s="9">
        <f>COUNTIF('Casos de Prueba'!K4:K60,"FALLÓ")</f>
        <v>0</v>
      </c>
      <c r="D5" s="9">
        <f>COUNTIF('Casos de Prueba'!O4:O60,"FALLÓ")</f>
        <v>0</v>
      </c>
    </row>
    <row r="6" spans="1:4" ht="24" customHeight="1" x14ac:dyDescent="0.25">
      <c r="A6" s="7" t="s">
        <v>110</v>
      </c>
      <c r="B6" s="9">
        <f>COUNTIF('Casos de Prueba'!G4:G60,"NO APLICA")</f>
        <v>0</v>
      </c>
      <c r="C6" s="9">
        <f>COUNTIF('Casos de Prueba'!K4:K60,"NO APLICA")+B6</f>
        <v>0</v>
      </c>
      <c r="D6" s="9">
        <f>COUNTIF('Casos de Prueba'!O4:O60,"NO APLICA")+C6</f>
        <v>0</v>
      </c>
    </row>
    <row r="7" spans="1:4" ht="24" customHeight="1" x14ac:dyDescent="0.25">
      <c r="A7" s="7" t="s">
        <v>111</v>
      </c>
      <c r="B7" s="9">
        <f>B3-(B4+B5+B6)</f>
        <v>0</v>
      </c>
      <c r="C7" s="9">
        <f>C3-(C4+C5+C6)</f>
        <v>1</v>
      </c>
      <c r="D7" s="9">
        <f>D3-(D4+D5+D6)</f>
        <v>1</v>
      </c>
    </row>
    <row r="8" spans="1:4" ht="24" customHeight="1" x14ac:dyDescent="0.25">
      <c r="A8" s="7" t="s">
        <v>112</v>
      </c>
      <c r="B8" s="10">
        <f>(B4+B5+B6)*1/(B3)</f>
        <v>1</v>
      </c>
      <c r="C8" s="10">
        <f>(C4+C5+C6)*1/(C3)</f>
        <v>0.91666666666666663</v>
      </c>
      <c r="D8" s="10">
        <f>(D4+D5+D6)*1/(D3)</f>
        <v>0.91666666666666663</v>
      </c>
    </row>
    <row r="9" spans="1:4" ht="24" customHeight="1" x14ac:dyDescent="0.25">
      <c r="A9" s="7" t="s">
        <v>113</v>
      </c>
      <c r="B9" s="11">
        <f>(B4)*1/(B3-B6)</f>
        <v>0.91666666666666663</v>
      </c>
      <c r="C9" s="11">
        <f>(C4)*1/(C3-C6)</f>
        <v>0.91666666666666663</v>
      </c>
      <c r="D9" s="11">
        <f>(D4)*1/(D3-D6)</f>
        <v>0.91666666666666663</v>
      </c>
    </row>
  </sheetData>
  <mergeCells count="1">
    <mergeCell ref="A1:D1"/>
  </mergeCells>
  <pageMargins left="0.7" right="0.7" top="0.75" bottom="0.75" header="0.3" footer="0.3"/>
  <pageSetup paperSize="9" fitToHeight="0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fitToHeight="0"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7"/>
  <sheetViews>
    <sheetView workbookViewId="0"/>
  </sheetViews>
  <sheetFormatPr defaultColWidth="9.140625" defaultRowHeight="15" x14ac:dyDescent="0.25"/>
  <cols>
    <col min="1" max="1" width="16" customWidth="1"/>
    <col min="2" max="2" width="24" customWidth="1"/>
    <col min="3" max="3" width="18" customWidth="1"/>
    <col min="4" max="4" width="12" customWidth="1"/>
    <col min="5" max="5" width="18" customWidth="1"/>
  </cols>
  <sheetData>
    <row r="1" spans="1:5" x14ac:dyDescent="0.25">
      <c r="A1" s="12" t="s">
        <v>114</v>
      </c>
      <c r="B1" s="12" t="s">
        <v>115</v>
      </c>
      <c r="C1" s="12" t="s">
        <v>88</v>
      </c>
      <c r="D1" s="12" t="s">
        <v>89</v>
      </c>
      <c r="E1" s="12" t="s">
        <v>90</v>
      </c>
    </row>
    <row r="2" spans="1:5" x14ac:dyDescent="0.25">
      <c r="A2" s="13" t="s">
        <v>21</v>
      </c>
      <c r="B2" s="13" t="s">
        <v>93</v>
      </c>
      <c r="C2" s="13" t="s">
        <v>98</v>
      </c>
      <c r="D2" s="13" t="s">
        <v>116</v>
      </c>
      <c r="E2" s="13" t="s">
        <v>117</v>
      </c>
    </row>
    <row r="3" spans="1:5" x14ac:dyDescent="0.25">
      <c r="A3" s="13" t="s">
        <v>59</v>
      </c>
      <c r="B3" s="13" t="s">
        <v>118</v>
      </c>
      <c r="C3" s="13" t="s">
        <v>119</v>
      </c>
      <c r="D3" s="13" t="s">
        <v>99</v>
      </c>
      <c r="E3" s="13" t="s">
        <v>100</v>
      </c>
    </row>
    <row r="4" spans="1:5" x14ac:dyDescent="0.25">
      <c r="A4" s="13" t="s">
        <v>120</v>
      </c>
      <c r="B4" s="13" t="s">
        <v>121</v>
      </c>
      <c r="C4" s="13" t="s">
        <v>122</v>
      </c>
      <c r="D4" s="13" t="s">
        <v>123</v>
      </c>
      <c r="E4" s="13" t="s">
        <v>124</v>
      </c>
    </row>
    <row r="5" spans="1:5" x14ac:dyDescent="0.25">
      <c r="A5" s="13" t="s">
        <v>125</v>
      </c>
      <c r="B5" s="13" t="s">
        <v>126</v>
      </c>
      <c r="D5" s="13" t="s">
        <v>127</v>
      </c>
      <c r="E5" s="13" t="s">
        <v>128</v>
      </c>
    </row>
    <row r="6" spans="1:5" x14ac:dyDescent="0.25">
      <c r="B6" s="13" t="s">
        <v>129</v>
      </c>
    </row>
    <row r="7" spans="1:5" x14ac:dyDescent="0.25">
      <c r="B7" s="13" t="s">
        <v>130</v>
      </c>
    </row>
  </sheetData>
  <pageMargins left="0.7" right="0.7" top="0.75" bottom="0.75" header="0.3" footer="0.3"/>
  <pageSetup paperSize="9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Casos de Prueba</vt:lpstr>
      <vt:lpstr>Defectos</vt:lpstr>
      <vt:lpstr>Indicadores</vt:lpstr>
      <vt:lpstr>cp-08-evidencias</vt:lpstr>
      <vt:lpstr>Datos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2026-08-23T22:33:40Z</dcterms:created>
  <dcterms:modified xsi:type="dcterms:W3CDTF">2026-08-26T16:47:23Z</dcterms:modified>
  <cp:category/>
</cp:coreProperties>
</file>